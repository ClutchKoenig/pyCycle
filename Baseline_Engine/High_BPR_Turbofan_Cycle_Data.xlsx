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Engine Cycle Data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<sst xmlns="http://schemas.openxmlformats.org/spreadsheetml/2006/main" count="100" uniqueCount="100">
  <si>
    <t>Station</t>
  </si>
  <si>
    <t xml:space="preserve">W (kg/s)</t>
  </si>
  <si>
    <t xml:space="preserve">T (K)</t>
  </si>
  <si>
    <t xml:space="preserve">P (kPa)</t>
  </si>
  <si>
    <t xml:space="preserve">WRstd (kg/s)</t>
  </si>
  <si>
    <t xml:space="preserve">dpQp Loss coefficient</t>
  </si>
  <si>
    <t>fracW</t>
  </si>
  <si>
    <t xml:space="preserve">fracW pyc</t>
  </si>
  <si>
    <t xml:space="preserve">Total W</t>
  </si>
  <si>
    <t>fracP</t>
  </si>
  <si>
    <t xml:space="preserve">frac Work</t>
  </si>
  <si>
    <t>amb</t>
  </si>
  <si>
    <t xml:space="preserve">FN (kN)</t>
  </si>
  <si>
    <t>02</t>
  </si>
  <si>
    <t xml:space="preserve">TSFC (g/kN*s)</t>
  </si>
  <si>
    <t>12</t>
  </si>
  <si>
    <t>P02/P1</t>
  </si>
  <si>
    <t>2</t>
  </si>
  <si>
    <t>P12/P1</t>
  </si>
  <si>
    <t>13</t>
  </si>
  <si>
    <t xml:space="preserve">WF (kg/s)</t>
  </si>
  <si>
    <t>21</t>
  </si>
  <si>
    <t>FN/W2</t>
  </si>
  <si>
    <t>DUct</t>
  </si>
  <si>
    <t xml:space="preserve">LP Compressor Inlet</t>
  </si>
  <si>
    <t>22</t>
  </si>
  <si>
    <t xml:space="preserve">Core Eff</t>
  </si>
  <si>
    <t xml:space="preserve">LP Compressor Outlet</t>
  </si>
  <si>
    <t>24</t>
  </si>
  <si>
    <t xml:space="preserve">Prop Eff</t>
  </si>
  <si>
    <t>Duct</t>
  </si>
  <si>
    <t>BPR</t>
  </si>
  <si>
    <t xml:space="preserve">HP Compressor Inlet</t>
  </si>
  <si>
    <t>25</t>
  </si>
  <si>
    <t>P2/P1</t>
  </si>
  <si>
    <t>3</t>
  </si>
  <si>
    <t xml:space="preserve">0,03333 + 0,00667</t>
  </si>
  <si>
    <t>0,22?</t>
  </si>
  <si>
    <t>P3/P2</t>
  </si>
  <si>
    <t xml:space="preserve">Cooling Flow</t>
  </si>
  <si>
    <t xml:space="preserve">Combustion Inlet</t>
  </si>
  <si>
    <t xml:space="preserve">0,16 + 0,09</t>
  </si>
  <si>
    <t>4</t>
  </si>
  <si>
    <t>P5/P2</t>
  </si>
  <si>
    <t>4.05</t>
  </si>
  <si>
    <t>P16/P13</t>
  </si>
  <si>
    <t xml:space="preserve">HP Turbine</t>
  </si>
  <si>
    <t>41</t>
  </si>
  <si>
    <t>P16/P6</t>
  </si>
  <si>
    <t>43</t>
  </si>
  <si>
    <t>P16/P2</t>
  </si>
  <si>
    <t>44</t>
  </si>
  <si>
    <t>P6/P5</t>
  </si>
  <si>
    <t>45</t>
  </si>
  <si>
    <t xml:space="preserve">A8 (m^2)</t>
  </si>
  <si>
    <t>49</t>
  </si>
  <si>
    <t xml:space="preserve">A18 (m^2)</t>
  </si>
  <si>
    <t>5</t>
  </si>
  <si>
    <t>XM8</t>
  </si>
  <si>
    <t>8</t>
  </si>
  <si>
    <t>XM18</t>
  </si>
  <si>
    <t>18</t>
  </si>
  <si>
    <t>WBLD/W25</t>
  </si>
  <si>
    <t>CD8</t>
  </si>
  <si>
    <t xml:space="preserve">Key Parameters</t>
  </si>
  <si>
    <t>CD18</t>
  </si>
  <si>
    <t>V18/V8,id</t>
  </si>
  <si>
    <t xml:space="preserve">Component Efficiencies</t>
  </si>
  <si>
    <t>Wreci/W25</t>
  </si>
  <si>
    <t>Component</t>
  </si>
  <si>
    <t>Isentropic</t>
  </si>
  <si>
    <t>Polytropic</t>
  </si>
  <si>
    <t>RNT</t>
  </si>
  <si>
    <t>P/P</t>
  </si>
  <si>
    <t>WBLD/W22</t>
  </si>
  <si>
    <t xml:space="preserve">Outer LPC</t>
  </si>
  <si>
    <t>WLKP/W25</t>
  </si>
  <si>
    <t xml:space="preserve">Inner LPC</t>
  </si>
  <si>
    <t xml:space="preserve">Loading (%)</t>
  </si>
  <si>
    <t xml:space="preserve">IP Compressor</t>
  </si>
  <si>
    <t>WCHN/W25</t>
  </si>
  <si>
    <t xml:space="preserve">HP Compressor</t>
  </si>
  <si>
    <t>WCHR/W25</t>
  </si>
  <si>
    <t>Burner</t>
  </si>
  <si>
    <t>WCLN/W25</t>
  </si>
  <si>
    <t>WCLR/W25</t>
  </si>
  <si>
    <t xml:space="preserve">LP Turbine</t>
  </si>
  <si>
    <t xml:space="preserve">Gear Ratio</t>
  </si>
  <si>
    <t xml:space="preserve">PwX (kW)</t>
  </si>
  <si>
    <t xml:space="preserve">Mechanical / Speed Data</t>
  </si>
  <si>
    <t xml:space="preserve">PwXH (kW)</t>
  </si>
  <si>
    <t xml:space="preserve">HP Spool mech Eff</t>
  </si>
  <si>
    <t xml:space="preserve">PwXL (kW)</t>
  </si>
  <si>
    <t xml:space="preserve">LP Spool mech Eff</t>
  </si>
  <si>
    <t xml:space="preserve">IPC &amp; LPT Nom Spd (rpm)</t>
  </si>
  <si>
    <t xml:space="preserve">HP Nom Spd (rpm)</t>
  </si>
  <si>
    <t xml:space="preserve">LP Nom Spd (rpm)</t>
  </si>
  <si>
    <t>P22/P21</t>
  </si>
  <si>
    <t>P25/P24</t>
  </si>
  <si>
    <t>P45/P44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</si>
</sst>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0.00000"/>
    <numFmt numFmtId="165" formatCode="0.000000"/>
    <numFmt numFmtId="166" formatCode="0.000"/>
  </numFmts>
  <fonts count="2">
    <font>
      <sz val="11.000000"/>
      <color theme="1"/>
      <name val="Calibri"/>
      <scheme val="minor"/>
    </font>
    <font>
      <sz val="11.000000"/>
      <color theme="1"/>
      <name val="Ubuntu"/>
    </font>
  </fonts>
  <fills count="10">
    <fill>
      <patternFill patternType="none"/>
    </fill>
    <fill>
      <patternFill patternType="gray125"/>
    </fill>
    <fill>
      <patternFill patternType="solid">
        <fgColor theme="3" tint="0"/>
        <bgColor theme="3" tint="0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3" tint="0.59999389629810485"/>
        <bgColor theme="3" tint="0.59999389629810485"/>
      </patternFill>
    </fill>
    <fill>
      <patternFill patternType="solid">
        <fgColor theme="6" tint="0"/>
        <bgColor theme="6" tint="0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indexed="5"/>
        <bgColor indexed="5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34">
    <xf fontId="0" fillId="0" borderId="0" numFmtId="0" xfId="0" quotePrefix="0" pivotButton="0"/>
    <xf fontId="1" fillId="0" borderId="0" numFmtId="0" xfId="0" applyFont="1" quotePrefix="0" pivotButton="0"/>
    <xf fontId="0" fillId="0" borderId="0" numFmtId="0" xfId="0" quotePrefix="0" pivotButton="0">
      <protection hidden="0" locked="1"/>
    </xf>
    <xf fontId="1" fillId="2" borderId="0" numFmtId="164" xfId="0" applyNumberFormat="1" applyFont="1" applyFill="1" quotePrefix="0" pivotButton="0"/>
    <xf fontId="0" fillId="0" borderId="0" numFmtId="0" xfId="0" applyAlignment="1" quotePrefix="0" pivotButton="0">
      <alignment vertical="center"/>
    </xf>
    <xf fontId="0" fillId="0" borderId="0" numFmtId="0" xfId="0" applyAlignment="1" quotePrefix="0" pivotButton="0">
      <alignment horizontal="center" vertical="center"/>
    </xf>
    <xf fontId="1" fillId="3" borderId="0" numFmtId="164" xfId="0" applyNumberFormat="1" applyFont="1" applyFill="1" quotePrefix="0" pivotButton="0"/>
    <xf fontId="1" fillId="4" borderId="0" numFmtId="0" xfId="0" applyFont="1" applyFill="1" quotePrefix="0" pivotButton="0"/>
    <xf fontId="0" fillId="4" borderId="0" numFmtId="0" xfId="0" applyFill="1" quotePrefix="0" pivotButton="0"/>
    <xf fontId="0" fillId="4" borderId="0" numFmtId="0" xfId="0" applyFill="1" applyAlignment="1" quotePrefix="0" pivotButton="0">
      <alignment vertical="center"/>
    </xf>
    <xf fontId="0" fillId="4" borderId="0" numFmtId="0" xfId="0" applyFill="1" quotePrefix="0" pivotButton="0"/>
    <xf fontId="0" fillId="4" borderId="0" numFmtId="0" xfId="0" applyFill="1" quotePrefix="0" pivotButton="0">
      <protection hidden="0" locked="1"/>
    </xf>
    <xf fontId="1" fillId="4" borderId="0" numFmtId="0" xfId="0" applyFont="1" applyFill="1" applyAlignment="1" quotePrefix="0" pivotButton="0">
      <alignment horizontal="left"/>
    </xf>
    <xf fontId="1" fillId="4" borderId="0" numFmtId="165" xfId="0" applyNumberFormat="1" applyFont="1" applyFill="1" quotePrefix="0" pivotButton="0"/>
    <xf fontId="0" fillId="0" borderId="1" numFmtId="0" xfId="0" applyBorder="1" applyAlignment="1" quotePrefix="0" pivotButton="0">
      <alignment vertical="center"/>
    </xf>
    <xf fontId="1" fillId="5" borderId="0" numFmtId="0" xfId="0" applyFont="1" applyFill="1" quotePrefix="0" pivotButton="0"/>
    <xf fontId="0" fillId="0" borderId="2" numFmtId="0" xfId="0" applyBorder="1" applyAlignment="1" quotePrefix="0" pivotButton="0">
      <alignment vertical="center"/>
    </xf>
    <xf fontId="1" fillId="6" borderId="0" numFmtId="0" xfId="0" applyFont="1" applyFill="1" quotePrefix="0" pivotButton="0"/>
    <xf fontId="0" fillId="0" borderId="3" numFmtId="0" xfId="0" applyBorder="1" applyAlignment="1" quotePrefix="0" pivotButton="0">
      <alignment vertical="center"/>
    </xf>
    <xf fontId="1" fillId="7" borderId="0" numFmtId="0" xfId="0" applyFont="1" applyFill="1" quotePrefix="0" pivotButton="0"/>
    <xf fontId="0" fillId="5" borderId="0" numFmtId="0" xfId="0" applyFill="1" quotePrefix="0" pivotButton="0"/>
    <xf fontId="0" fillId="0" borderId="0" numFmtId="0" xfId="0" quotePrefix="0" pivotButton="0"/>
    <xf fontId="1" fillId="8" borderId="0" numFmtId="0" xfId="0" applyFont="1" applyFill="1" quotePrefix="0" pivotButton="0"/>
    <xf fontId="1" fillId="0" borderId="0" numFmtId="164" xfId="0" applyNumberFormat="1" applyFont="1" quotePrefix="0" pivotButton="0"/>
    <xf fontId="0" fillId="6" borderId="0" numFmtId="0" xfId="0" applyFill="1" quotePrefix="0" pivotButton="0"/>
    <xf fontId="0" fillId="7" borderId="0" numFmtId="0" xfId="0" applyFill="1" quotePrefix="0" pivotButton="0"/>
    <xf fontId="0" fillId="8" borderId="0" numFmtId="0" xfId="0" applyFill="1" quotePrefix="0" pivotButton="0"/>
    <xf fontId="0" fillId="2" borderId="0" numFmtId="0" xfId="0" applyFill="1" quotePrefix="0" pivotButton="0">
      <protection hidden="0" locked="1"/>
    </xf>
    <xf fontId="0" fillId="3" borderId="0" numFmtId="0" xfId="0" applyFill="1" quotePrefix="0" pivotButton="0">
      <protection hidden="0" locked="1"/>
    </xf>
    <xf fontId="0" fillId="0" borderId="0" numFmtId="166" xfId="0" applyNumberFormat="1" quotePrefix="0" pivotButton="0"/>
    <xf fontId="0" fillId="0" borderId="0" numFmtId="166" xfId="0" applyNumberFormat="1" quotePrefix="0" pivotButton="0">
      <protection hidden="0" locked="1"/>
    </xf>
    <xf fontId="0" fillId="9" borderId="0" numFmtId="166" xfId="0" applyNumberFormat="1" applyFill="1" quotePrefix="0" pivotButton="0"/>
    <xf fontId="0" fillId="9" borderId="0" numFmtId="166" xfId="0" applyNumberFormat="1" applyFill="1" quotePrefix="0" pivotButton="0">
      <protection hidden="0" locked="1"/>
    </xf>
    <xf fontId="0" fillId="9" borderId="0" numFmtId="0" xfId="0" applyFill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2</xdr:col>
      <xdr:colOff>225136</xdr:colOff>
      <xdr:row>11</xdr:row>
      <xdr:rowOff>164521</xdr:rowOff>
    </xdr:from>
    <xdr:to>
      <xdr:col>5</xdr:col>
      <xdr:colOff>103908</xdr:colOff>
      <xdr:row>20</xdr:row>
      <xdr:rowOff>86590</xdr:rowOff>
    </xdr:to>
    <xdr:sp>
      <xdr:nvSpPr>
        <xdr:cNvPr id="1052410990" name=""/>
        <xdr:cNvSpPr/>
      </xdr:nvSpPr>
      <xdr:spPr bwMode="auto">
        <a:xfrm>
          <a:off x="1448954" y="2196522"/>
          <a:ext cx="2649681" cy="1584613"/>
        </a:xfrm>
        <a:custGeom>
          <a:avLst/>
          <a:gdLst/>
          <a:ahLst/>
          <a:cxnLst/>
          <a:rect l="l" t="t" r="r" b="b"/>
          <a:pathLst>
            <a:path w="43200" h="43200" fill="none" stroke="1" extrusionOk="0">
              <a:moveTo>
                <a:pt x="6776" y="0"/>
              </a:moveTo>
              <a:cubicBezTo>
                <a:pt x="5647" y="0"/>
                <a:pt x="4799" y="236"/>
                <a:pt x="4094" y="236"/>
              </a:cubicBezTo>
              <a:cubicBezTo>
                <a:pt x="2964" y="236"/>
                <a:pt x="1835" y="236"/>
                <a:pt x="1129" y="236"/>
              </a:cubicBezTo>
              <a:cubicBezTo>
                <a:pt x="1129" y="1652"/>
                <a:pt x="1129" y="3777"/>
                <a:pt x="847" y="4957"/>
              </a:cubicBezTo>
              <a:cubicBezTo>
                <a:pt x="705" y="6609"/>
                <a:pt x="705" y="7790"/>
                <a:pt x="705" y="9442"/>
              </a:cubicBezTo>
              <a:cubicBezTo>
                <a:pt x="705" y="11331"/>
                <a:pt x="564" y="13455"/>
                <a:pt x="564" y="14872"/>
              </a:cubicBezTo>
              <a:cubicBezTo>
                <a:pt x="282" y="16052"/>
                <a:pt x="282" y="17940"/>
                <a:pt x="282" y="19121"/>
              </a:cubicBezTo>
              <a:cubicBezTo>
                <a:pt x="282" y="20773"/>
                <a:pt x="282" y="22426"/>
                <a:pt x="141" y="25259"/>
              </a:cubicBezTo>
              <a:cubicBezTo>
                <a:pt x="141" y="26439"/>
                <a:pt x="141" y="28091"/>
                <a:pt x="141" y="29508"/>
              </a:cubicBezTo>
              <a:cubicBezTo>
                <a:pt x="141" y="31868"/>
                <a:pt x="0" y="33049"/>
                <a:pt x="0" y="34229"/>
              </a:cubicBezTo>
              <a:cubicBezTo>
                <a:pt x="141" y="35645"/>
                <a:pt x="141" y="36826"/>
                <a:pt x="141" y="38006"/>
              </a:cubicBezTo>
              <a:cubicBezTo>
                <a:pt x="282" y="39422"/>
                <a:pt x="282" y="40603"/>
                <a:pt x="282" y="41783"/>
              </a:cubicBezTo>
              <a:cubicBezTo>
                <a:pt x="282" y="43200"/>
                <a:pt x="705" y="42491"/>
                <a:pt x="1129" y="41783"/>
              </a:cubicBezTo>
              <a:cubicBezTo>
                <a:pt x="1835" y="41547"/>
                <a:pt x="2541" y="41311"/>
                <a:pt x="3529" y="41311"/>
              </a:cubicBezTo>
              <a:cubicBezTo>
                <a:pt x="5082" y="41311"/>
                <a:pt x="6352" y="41311"/>
                <a:pt x="8470" y="41547"/>
              </a:cubicBezTo>
              <a:cubicBezTo>
                <a:pt x="9317" y="41547"/>
                <a:pt x="10305" y="41547"/>
                <a:pt x="12705" y="41547"/>
              </a:cubicBezTo>
              <a:cubicBezTo>
                <a:pt x="13552" y="41547"/>
                <a:pt x="14400" y="41547"/>
                <a:pt x="15952" y="41547"/>
              </a:cubicBezTo>
              <a:cubicBezTo>
                <a:pt x="18776" y="41547"/>
                <a:pt x="20047" y="41547"/>
                <a:pt x="21458" y="41547"/>
              </a:cubicBezTo>
              <a:cubicBezTo>
                <a:pt x="22305" y="41547"/>
                <a:pt x="23858" y="41547"/>
                <a:pt x="26541" y="42255"/>
              </a:cubicBezTo>
              <a:cubicBezTo>
                <a:pt x="27670" y="42491"/>
                <a:pt x="28517" y="42491"/>
                <a:pt x="30211" y="42491"/>
              </a:cubicBezTo>
              <a:cubicBezTo>
                <a:pt x="31199" y="42491"/>
                <a:pt x="32752" y="42491"/>
                <a:pt x="33599" y="42491"/>
              </a:cubicBezTo>
              <a:cubicBezTo>
                <a:pt x="34588" y="42255"/>
                <a:pt x="35858" y="41547"/>
                <a:pt x="36705" y="41311"/>
              </a:cubicBezTo>
              <a:cubicBezTo>
                <a:pt x="37270" y="40839"/>
                <a:pt x="38964" y="40839"/>
                <a:pt x="40235" y="40839"/>
              </a:cubicBezTo>
              <a:cubicBezTo>
                <a:pt x="41505" y="40839"/>
                <a:pt x="42352" y="40839"/>
                <a:pt x="43200" y="41311"/>
              </a:cubicBezTo>
            </a:path>
          </a:pathLst>
        </a:custGeom>
        <a:noFill/>
        <a:ln w="36000">
          <a:solidFill>
            <a:srgbClr val="EA3368">
              <a:alpha val="99999"/>
            </a:srgb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twoCell">
    <xdr:from>
      <xdr:col>2</xdr:col>
      <xdr:colOff>588818</xdr:colOff>
      <xdr:row>12</xdr:row>
      <xdr:rowOff>161635</xdr:rowOff>
    </xdr:from>
    <xdr:to>
      <xdr:col>3</xdr:col>
      <xdr:colOff>11545</xdr:colOff>
      <xdr:row>16</xdr:row>
      <xdr:rowOff>150090</xdr:rowOff>
    </xdr:to>
    <xdr:sp>
      <xdr:nvSpPr>
        <xdr:cNvPr id="1695825674" name=""/>
        <xdr:cNvSpPr/>
      </xdr:nvSpPr>
      <xdr:spPr bwMode="auto">
        <a:xfrm>
          <a:off x="1812636" y="2378363"/>
          <a:ext cx="34636" cy="727363"/>
        </a:xfrm>
        <a:custGeom>
          <a:avLst/>
          <a:gdLst/>
          <a:ahLst/>
          <a:cxnLst/>
          <a:rect l="l" t="t" r="r" b="b"/>
          <a:pathLst>
            <a:path w="43200" h="43200" fill="none" stroke="1" extrusionOk="0">
              <a:moveTo>
                <a:pt x="43200" y="0"/>
              </a:moveTo>
              <a:cubicBezTo>
                <a:pt x="43200" y="5142"/>
                <a:pt x="32399" y="8228"/>
                <a:pt x="32399" y="12342"/>
              </a:cubicBezTo>
              <a:cubicBezTo>
                <a:pt x="32399" y="15428"/>
                <a:pt x="32399" y="18000"/>
                <a:pt x="32399" y="20571"/>
              </a:cubicBezTo>
              <a:cubicBezTo>
                <a:pt x="32399" y="24171"/>
                <a:pt x="32399" y="26742"/>
                <a:pt x="32399" y="29828"/>
              </a:cubicBezTo>
              <a:cubicBezTo>
                <a:pt x="32399" y="32400"/>
                <a:pt x="32399" y="34971"/>
                <a:pt x="32399" y="38057"/>
              </a:cubicBezTo>
              <a:quadBezTo>
                <a:pt x="32399" y="41142"/>
                <a:pt x="0" y="43200"/>
              </a:quadBezTo>
            </a:path>
          </a:pathLst>
        </a:custGeom>
        <a:noFill/>
        <a:ln w="36000">
          <a:solidFill>
            <a:srgbClr val="1755A0">
              <a:alpha val="99999"/>
            </a:srgb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twoCell">
    <xdr:from>
      <xdr:col>3</xdr:col>
      <xdr:colOff>2886</xdr:colOff>
      <xdr:row>16</xdr:row>
      <xdr:rowOff>46181</xdr:rowOff>
    </xdr:from>
    <xdr:to>
      <xdr:col>3</xdr:col>
      <xdr:colOff>28862</xdr:colOff>
      <xdr:row>18</xdr:row>
      <xdr:rowOff>57727</xdr:rowOff>
    </xdr:to>
    <xdr:sp>
      <xdr:nvSpPr>
        <xdr:cNvPr id="1431127760" name=""/>
        <xdr:cNvSpPr/>
      </xdr:nvSpPr>
      <xdr:spPr bwMode="auto">
        <a:xfrm>
          <a:off x="1838613" y="3001817"/>
          <a:ext cx="25977" cy="380999"/>
        </a:xfrm>
        <a:custGeom>
          <a:avLst/>
          <a:gdLst/>
          <a:ahLst/>
          <a:cxnLst/>
          <a:rect l="l" t="t" r="r" b="b"/>
          <a:pathLst>
            <a:path w="43200" h="43200" fill="none" stroke="1" extrusionOk="0">
              <a:moveTo>
                <a:pt x="0" y="0"/>
              </a:moveTo>
              <a:cubicBezTo>
                <a:pt x="0" y="5890"/>
                <a:pt x="0" y="10799"/>
                <a:pt x="0" y="15709"/>
              </a:cubicBezTo>
              <a:cubicBezTo>
                <a:pt x="0" y="21599"/>
                <a:pt x="0" y="26509"/>
                <a:pt x="0" y="31418"/>
              </a:cubicBezTo>
              <a:quadBezTo>
                <a:pt x="43200" y="38290"/>
                <a:pt x="43200" y="43200"/>
              </a:quadBezTo>
            </a:path>
          </a:pathLst>
        </a:custGeom>
        <a:noFill/>
        <a:ln w="36000">
          <a:solidFill>
            <a:srgbClr val="1755A0">
              <a:alpha val="99999"/>
            </a:srgb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twoCell">
    <xdr:from>
      <xdr:col>3</xdr:col>
      <xdr:colOff>37522</xdr:colOff>
      <xdr:row>18</xdr:row>
      <xdr:rowOff>23090</xdr:rowOff>
    </xdr:from>
    <xdr:to>
      <xdr:col>5</xdr:col>
      <xdr:colOff>0</xdr:colOff>
      <xdr:row>18</xdr:row>
      <xdr:rowOff>49068</xdr:rowOff>
    </xdr:to>
    <xdr:sp>
      <xdr:nvSpPr>
        <xdr:cNvPr id="896814992" name=""/>
        <xdr:cNvSpPr/>
      </xdr:nvSpPr>
      <xdr:spPr bwMode="auto">
        <a:xfrm>
          <a:off x="1873249" y="3348181"/>
          <a:ext cx="2121477" cy="25977"/>
        </a:xfrm>
        <a:custGeom>
          <a:avLst/>
          <a:gdLst/>
          <a:ahLst/>
          <a:cxnLst/>
          <a:rect l="l" t="t" r="r" b="b"/>
          <a:pathLst>
            <a:path w="43200" h="43200" fill="none" stroke="1" extrusionOk="0">
              <a:moveTo>
                <a:pt x="0" y="0"/>
              </a:moveTo>
              <a:cubicBezTo>
                <a:pt x="1939" y="0"/>
                <a:pt x="2821" y="0"/>
                <a:pt x="3702" y="0"/>
              </a:cubicBezTo>
              <a:cubicBezTo>
                <a:pt x="5642" y="0"/>
                <a:pt x="6524" y="28799"/>
                <a:pt x="7582" y="28799"/>
              </a:cubicBezTo>
              <a:cubicBezTo>
                <a:pt x="8463" y="28799"/>
                <a:pt x="9874" y="28799"/>
                <a:pt x="10755" y="28799"/>
              </a:cubicBezTo>
              <a:cubicBezTo>
                <a:pt x="11813" y="28799"/>
                <a:pt x="13400" y="28799"/>
                <a:pt x="15516" y="28799"/>
              </a:cubicBezTo>
              <a:cubicBezTo>
                <a:pt x="18337" y="28799"/>
                <a:pt x="19924" y="28799"/>
                <a:pt x="20982" y="28799"/>
              </a:cubicBezTo>
              <a:cubicBezTo>
                <a:pt x="22569" y="28799"/>
                <a:pt x="23980" y="28799"/>
                <a:pt x="25567" y="28799"/>
              </a:cubicBezTo>
              <a:cubicBezTo>
                <a:pt x="27330" y="28799"/>
                <a:pt x="28917" y="28799"/>
                <a:pt x="29799" y="28799"/>
              </a:cubicBezTo>
              <a:cubicBezTo>
                <a:pt x="31915" y="28799"/>
                <a:pt x="33149" y="28799"/>
                <a:pt x="34383" y="28799"/>
              </a:cubicBezTo>
              <a:cubicBezTo>
                <a:pt x="37557" y="43200"/>
                <a:pt x="38615" y="28799"/>
                <a:pt x="39320" y="0"/>
              </a:cubicBezTo>
              <a:cubicBezTo>
                <a:pt x="40378" y="0"/>
                <a:pt x="42318" y="0"/>
                <a:pt x="43200" y="0"/>
              </a:cubicBezTo>
            </a:path>
          </a:pathLst>
        </a:custGeom>
        <a:noFill/>
        <a:ln w="36000">
          <a:solidFill>
            <a:srgbClr val="1755A0">
              <a:alpha val="99999"/>
            </a:srgb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twoCell">
    <xdr:from>
      <xdr:col>3</xdr:col>
      <xdr:colOff>11545</xdr:colOff>
      <xdr:row>12</xdr:row>
      <xdr:rowOff>178954</xdr:rowOff>
    </xdr:from>
    <xdr:to>
      <xdr:col>5</xdr:col>
      <xdr:colOff>95249</xdr:colOff>
      <xdr:row>13</xdr:row>
      <xdr:rowOff>46181</xdr:rowOff>
    </xdr:to>
    <xdr:sp>
      <xdr:nvSpPr>
        <xdr:cNvPr id="2065840958" name=""/>
        <xdr:cNvSpPr/>
      </xdr:nvSpPr>
      <xdr:spPr bwMode="auto">
        <a:xfrm>
          <a:off x="1847272" y="2395681"/>
          <a:ext cx="2242704" cy="51954"/>
        </a:xfrm>
        <a:custGeom>
          <a:avLst/>
          <a:gdLst/>
          <a:ahLst/>
          <a:cxnLst/>
          <a:rect l="l" t="t" r="r" b="b"/>
          <a:pathLst>
            <a:path w="43200" h="43200" fill="none" stroke="1" extrusionOk="0">
              <a:moveTo>
                <a:pt x="0" y="0"/>
              </a:moveTo>
              <a:cubicBezTo>
                <a:pt x="1000" y="0"/>
                <a:pt x="1834" y="0"/>
                <a:pt x="4503" y="0"/>
              </a:cubicBezTo>
              <a:cubicBezTo>
                <a:pt x="5671" y="0"/>
                <a:pt x="6671" y="0"/>
                <a:pt x="7839" y="0"/>
              </a:cubicBezTo>
              <a:cubicBezTo>
                <a:pt x="8673" y="0"/>
                <a:pt x="9674" y="0"/>
                <a:pt x="11342" y="0"/>
              </a:cubicBezTo>
              <a:cubicBezTo>
                <a:pt x="13010" y="0"/>
                <a:pt x="13844" y="0"/>
                <a:pt x="15678" y="0"/>
              </a:cubicBezTo>
              <a:cubicBezTo>
                <a:pt x="17179" y="0"/>
                <a:pt x="18347" y="0"/>
                <a:pt x="19348" y="0"/>
              </a:cubicBezTo>
              <a:cubicBezTo>
                <a:pt x="20349" y="7199"/>
                <a:pt x="21683" y="14399"/>
                <a:pt x="23184" y="28800"/>
              </a:cubicBezTo>
              <a:cubicBezTo>
                <a:pt x="25186" y="43200"/>
                <a:pt x="26520" y="43200"/>
                <a:pt x="27688" y="43200"/>
              </a:cubicBezTo>
              <a:cubicBezTo>
                <a:pt x="30023" y="36000"/>
                <a:pt x="31023" y="36000"/>
                <a:pt x="32024" y="36000"/>
              </a:cubicBezTo>
              <a:cubicBezTo>
                <a:pt x="33025" y="36000"/>
                <a:pt x="33859" y="36000"/>
                <a:pt x="35360" y="36000"/>
              </a:cubicBezTo>
              <a:cubicBezTo>
                <a:pt x="37195" y="36000"/>
                <a:pt x="38362" y="36000"/>
                <a:pt x="39363" y="36000"/>
              </a:cubicBezTo>
              <a:cubicBezTo>
                <a:pt x="40698" y="36000"/>
                <a:pt x="41698" y="36000"/>
                <a:pt x="42532" y="28800"/>
              </a:cubicBezTo>
              <a:lnTo>
                <a:pt x="43200" y="7199"/>
              </a:lnTo>
            </a:path>
          </a:pathLst>
        </a:custGeom>
        <a:noFill/>
        <a:ln w="36000">
          <a:solidFill>
            <a:srgbClr val="1755A0">
              <a:alpha val="99999"/>
            </a:srgb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twoCell">
    <xdr:from>
      <xdr:col>3</xdr:col>
      <xdr:colOff>37522</xdr:colOff>
      <xdr:row>15</xdr:row>
      <xdr:rowOff>161635</xdr:rowOff>
    </xdr:from>
    <xdr:to>
      <xdr:col>5</xdr:col>
      <xdr:colOff>25977</xdr:colOff>
      <xdr:row>16</xdr:row>
      <xdr:rowOff>37522</xdr:rowOff>
    </xdr:to>
    <xdr:sp>
      <xdr:nvSpPr>
        <xdr:cNvPr id="1380420174" name=""/>
        <xdr:cNvSpPr/>
      </xdr:nvSpPr>
      <xdr:spPr bwMode="auto">
        <a:xfrm>
          <a:off x="1873249" y="2932545"/>
          <a:ext cx="2147454" cy="60613"/>
        </a:xfrm>
        <a:custGeom>
          <a:avLst/>
          <a:gdLst/>
          <a:ahLst/>
          <a:cxnLst/>
          <a:rect l="l" t="t" r="r" b="b"/>
          <a:pathLst>
            <a:path w="43200" h="43200" fill="none" stroke="1" extrusionOk="0">
              <a:moveTo>
                <a:pt x="0" y="18514"/>
              </a:moveTo>
              <a:cubicBezTo>
                <a:pt x="1219" y="18514"/>
                <a:pt x="2264" y="18514"/>
                <a:pt x="7664" y="43200"/>
              </a:cubicBezTo>
              <a:cubicBezTo>
                <a:pt x="8883" y="43200"/>
                <a:pt x="10451" y="43200"/>
                <a:pt x="12716" y="43200"/>
              </a:cubicBezTo>
              <a:cubicBezTo>
                <a:pt x="14458" y="43200"/>
                <a:pt x="15503" y="43200"/>
                <a:pt x="17245" y="37028"/>
              </a:cubicBezTo>
              <a:cubicBezTo>
                <a:pt x="18638" y="37028"/>
                <a:pt x="19683" y="24685"/>
                <a:pt x="21774" y="24685"/>
              </a:cubicBezTo>
              <a:cubicBezTo>
                <a:pt x="23690" y="24685"/>
                <a:pt x="26303" y="18514"/>
                <a:pt x="27696" y="12342"/>
              </a:cubicBezTo>
              <a:cubicBezTo>
                <a:pt x="29264" y="12342"/>
                <a:pt x="31180" y="0"/>
                <a:pt x="32922" y="0"/>
              </a:cubicBezTo>
              <a:cubicBezTo>
                <a:pt x="34664" y="0"/>
                <a:pt x="35709" y="0"/>
                <a:pt x="36929" y="0"/>
              </a:cubicBezTo>
              <a:cubicBezTo>
                <a:pt x="38322" y="0"/>
                <a:pt x="39890" y="0"/>
                <a:pt x="41806" y="0"/>
              </a:cubicBezTo>
              <a:lnTo>
                <a:pt x="43200" y="0"/>
              </a:lnTo>
            </a:path>
          </a:pathLst>
        </a:custGeom>
        <a:noFill/>
        <a:ln w="36000">
          <a:solidFill>
            <a:srgbClr val="1755A0">
              <a:alpha val="99999"/>
            </a:srgb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twoCell">
    <xdr:from>
      <xdr:col>2</xdr:col>
      <xdr:colOff>225136</xdr:colOff>
      <xdr:row>20</xdr:row>
      <xdr:rowOff>60613</xdr:rowOff>
    </xdr:from>
    <xdr:to>
      <xdr:col>4</xdr:col>
      <xdr:colOff>874568</xdr:colOff>
      <xdr:row>22</xdr:row>
      <xdr:rowOff>80817</xdr:rowOff>
    </xdr:to>
    <xdr:sp>
      <xdr:nvSpPr>
        <xdr:cNvPr id="2000719181" name=""/>
        <xdr:cNvSpPr/>
      </xdr:nvSpPr>
      <xdr:spPr bwMode="auto">
        <a:xfrm>
          <a:off x="1448954" y="3755158"/>
          <a:ext cx="2537113" cy="389658"/>
        </a:xfrm>
        <a:custGeom>
          <a:avLst/>
          <a:gdLst/>
          <a:ahLst/>
          <a:cxnLst/>
          <a:rect l="l" t="t" r="r" b="b"/>
          <a:pathLst>
            <a:path w="43200" h="43200" fill="none" stroke="1" extrusionOk="0">
              <a:moveTo>
                <a:pt x="0" y="0"/>
              </a:moveTo>
              <a:cubicBezTo>
                <a:pt x="0" y="7679"/>
                <a:pt x="0" y="12480"/>
                <a:pt x="0" y="18239"/>
              </a:cubicBezTo>
              <a:cubicBezTo>
                <a:pt x="147" y="24000"/>
                <a:pt x="589" y="31680"/>
                <a:pt x="737" y="37440"/>
              </a:cubicBezTo>
              <a:cubicBezTo>
                <a:pt x="884" y="43200"/>
                <a:pt x="1474" y="39360"/>
                <a:pt x="2506" y="37440"/>
              </a:cubicBezTo>
              <a:cubicBezTo>
                <a:pt x="3096" y="35520"/>
                <a:pt x="4423" y="33600"/>
                <a:pt x="5307" y="33600"/>
              </a:cubicBezTo>
              <a:cubicBezTo>
                <a:pt x="6045" y="33600"/>
                <a:pt x="6782" y="34560"/>
                <a:pt x="7666" y="34560"/>
              </a:cubicBezTo>
              <a:cubicBezTo>
                <a:pt x="8404" y="34560"/>
                <a:pt x="9436" y="34560"/>
                <a:pt x="10320" y="34560"/>
              </a:cubicBezTo>
              <a:cubicBezTo>
                <a:pt x="11500" y="34560"/>
                <a:pt x="12384" y="34560"/>
                <a:pt x="13269" y="34560"/>
              </a:cubicBezTo>
              <a:cubicBezTo>
                <a:pt x="14301" y="34560"/>
                <a:pt x="15333" y="34560"/>
                <a:pt x="16218" y="34560"/>
              </a:cubicBezTo>
              <a:cubicBezTo>
                <a:pt x="17397" y="34560"/>
                <a:pt x="18282" y="34560"/>
                <a:pt x="19462" y="34560"/>
              </a:cubicBezTo>
              <a:cubicBezTo>
                <a:pt x="21378" y="34560"/>
                <a:pt x="22410" y="34560"/>
                <a:pt x="23148" y="34560"/>
              </a:cubicBezTo>
              <a:cubicBezTo>
                <a:pt x="24180" y="34560"/>
                <a:pt x="25654" y="33600"/>
                <a:pt x="26686" y="33600"/>
              </a:cubicBezTo>
              <a:cubicBezTo>
                <a:pt x="28013" y="33600"/>
                <a:pt x="28898" y="33600"/>
                <a:pt x="29635" y="33600"/>
              </a:cubicBezTo>
              <a:cubicBezTo>
                <a:pt x="30372" y="33600"/>
                <a:pt x="31404" y="33600"/>
                <a:pt x="33911" y="33600"/>
              </a:cubicBezTo>
              <a:cubicBezTo>
                <a:pt x="34943" y="33600"/>
                <a:pt x="35680" y="33600"/>
                <a:pt x="36860" y="33600"/>
              </a:cubicBezTo>
              <a:cubicBezTo>
                <a:pt x="38481" y="33600"/>
                <a:pt x="40103" y="34560"/>
                <a:pt x="40988" y="34560"/>
              </a:cubicBezTo>
              <a:quadBezTo>
                <a:pt x="42462" y="34560"/>
                <a:pt x="43200" y="35520"/>
              </a:quadBezTo>
            </a:path>
          </a:pathLst>
        </a:custGeom>
        <a:noFill/>
        <a:ln w="36000">
          <a:solidFill>
            <a:srgbClr val="EA3368">
              <a:alpha val="99999"/>
            </a:srgb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8" zoomScale="100" workbookViewId="0">
      <selection activeCell="A1" activeCellId="0" sqref="A1"/>
    </sheetView>
  </sheetViews>
  <sheetFormatPr baseColWidth="8" defaultRowHeight="14.25"/>
  <cols>
    <col customWidth="1" min="4" max="4" width="19.140625"/>
    <col customWidth="1" min="5" max="5" width="19.00390625"/>
    <col customWidth="1" min="6" max="6" width="11.421875"/>
    <col bestFit="1" min="8" max="8" width="9.54296875"/>
    <col customWidth="1" min="9" max="9" width="12.421875"/>
    <col bestFit="1" min="10" max="10" width="21.23046875"/>
    <col customWidth="1" min="11" max="12" width="19.140625"/>
    <col min="13" max="13" width="21.23046875"/>
    <col customWidth="1" min="14" max="15" width="16.28125"/>
    <col bestFit="1" min="16" max="16" width="18.90234375"/>
  </cols>
  <sheetData>
    <row r="1" ht="15"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2">
        <f>(Q37+Q36)*F12</f>
        <v>0.75219999999999998</v>
      </c>
      <c r="Q1" s="2"/>
    </row>
    <row r="2" ht="15">
      <c r="E2" s="1" t="s">
        <v>11</v>
      </c>
      <c r="F2" s="1"/>
      <c r="G2" s="1">
        <v>218.81</v>
      </c>
      <c r="H2" s="1">
        <v>23.841999999999999</v>
      </c>
      <c r="I2" s="1"/>
      <c r="J2" s="1"/>
      <c r="K2" s="1"/>
      <c r="L2" s="1"/>
      <c r="M2" s="1"/>
      <c r="N2" s="1"/>
      <c r="O2" s="1"/>
      <c r="P2" s="2" t="s">
        <v>12</v>
      </c>
      <c r="Q2" s="2">
        <v>27</v>
      </c>
    </row>
    <row r="3" ht="15">
      <c r="E3" s="1" t="s">
        <v>13</v>
      </c>
      <c r="F3" s="1">
        <v>18.805</v>
      </c>
      <c r="G3" s="1">
        <v>246.88</v>
      </c>
      <c r="H3" s="1">
        <v>36.353999999999999</v>
      </c>
      <c r="I3" s="1">
        <v>48.515000000000001</v>
      </c>
      <c r="J3" s="1"/>
      <c r="K3" s="1"/>
      <c r="L3" s="1"/>
      <c r="M3" s="1"/>
      <c r="N3" s="1"/>
      <c r="O3" s="1"/>
      <c r="P3" s="2" t="s">
        <v>14</v>
      </c>
      <c r="Q3" s="2">
        <v>14.936500000000001</v>
      </c>
    </row>
    <row r="4" ht="15">
      <c r="E4" s="1" t="s">
        <v>15</v>
      </c>
      <c r="F4" s="1">
        <v>282.077</v>
      </c>
      <c r="G4" s="1">
        <v>246.88</v>
      </c>
      <c r="H4" s="1">
        <v>36.159999999999997</v>
      </c>
      <c r="I4" s="1">
        <v>731.62</v>
      </c>
      <c r="J4" s="1"/>
      <c r="K4" s="1"/>
      <c r="L4" s="1"/>
      <c r="M4" s="1"/>
      <c r="N4" s="1"/>
      <c r="O4" s="1"/>
      <c r="P4" s="2" t="s">
        <v>16</v>
      </c>
      <c r="Q4" s="2">
        <v>1</v>
      </c>
    </row>
    <row r="5" ht="15">
      <c r="E5" s="1" t="s">
        <v>17</v>
      </c>
      <c r="F5" s="1">
        <v>300.88299999999998</v>
      </c>
      <c r="G5" s="1">
        <v>246.88</v>
      </c>
      <c r="H5" s="1">
        <v>36.171999999999997</v>
      </c>
      <c r="I5" s="1">
        <v>780.13300000000004</v>
      </c>
      <c r="J5" s="1"/>
      <c r="K5" s="1"/>
      <c r="L5" s="1"/>
      <c r="M5" s="1"/>
      <c r="N5" s="1"/>
      <c r="O5" s="1"/>
      <c r="P5" s="2" t="s">
        <v>18</v>
      </c>
      <c r="Q5" s="2">
        <v>0.99467000000000005</v>
      </c>
    </row>
    <row r="6" ht="15">
      <c r="E6" s="1" t="s">
        <v>19</v>
      </c>
      <c r="F6" s="1">
        <v>282.077</v>
      </c>
      <c r="G6" s="1">
        <v>275.30000000000001</v>
      </c>
      <c r="H6" s="1">
        <v>51.036999999999999</v>
      </c>
      <c r="I6" s="1">
        <v>547.38699999999994</v>
      </c>
      <c r="J6" s="1"/>
      <c r="K6" s="1"/>
      <c r="L6" s="1"/>
      <c r="M6" s="1"/>
      <c r="N6" s="1"/>
      <c r="O6" s="1"/>
      <c r="P6" s="2" t="s">
        <v>20</v>
      </c>
      <c r="Q6" s="2">
        <v>0.40328999999999998</v>
      </c>
    </row>
    <row r="7" ht="15">
      <c r="E7" s="1" t="s">
        <v>21</v>
      </c>
      <c r="F7" s="1">
        <v>18.805</v>
      </c>
      <c r="G7" s="1">
        <v>270.12</v>
      </c>
      <c r="H7" s="1">
        <v>48.305</v>
      </c>
      <c r="I7" s="1">
        <v>38.191000000000003</v>
      </c>
      <c r="K7" s="1"/>
      <c r="L7" s="1"/>
      <c r="M7" s="1"/>
      <c r="N7" s="1"/>
      <c r="O7" s="1"/>
      <c r="P7" s="2" t="s">
        <v>22</v>
      </c>
      <c r="Q7" s="2">
        <v>89.700000000000003</v>
      </c>
    </row>
    <row r="8" ht="15">
      <c r="D8" t="s">
        <v>23</v>
      </c>
      <c r="E8" s="1"/>
      <c r="F8" s="1"/>
      <c r="G8" s="1"/>
      <c r="H8" s="1"/>
      <c r="I8" s="1"/>
      <c r="J8" s="3">
        <f>(H7-H9)/H7</f>
        <v>0.019997929820929534</v>
      </c>
      <c r="K8" s="1"/>
      <c r="L8" s="1"/>
      <c r="M8" s="1"/>
      <c r="N8" s="1"/>
      <c r="O8" s="1"/>
      <c r="P8" s="2"/>
      <c r="Q8" s="2"/>
    </row>
    <row r="9" ht="15">
      <c r="D9" s="4" t="s">
        <v>24</v>
      </c>
      <c r="E9" s="1" t="s">
        <v>25</v>
      </c>
      <c r="F9" s="1">
        <v>18.805</v>
      </c>
      <c r="G9" s="1">
        <v>270.12</v>
      </c>
      <c r="H9" s="1">
        <v>47.338999999999999</v>
      </c>
      <c r="I9" s="1">
        <v>38.970999999999997</v>
      </c>
      <c r="J9" s="1"/>
      <c r="K9" s="1"/>
      <c r="L9" s="1"/>
      <c r="M9" s="1"/>
      <c r="N9" s="1"/>
      <c r="O9" s="1"/>
      <c r="P9" s="2" t="s">
        <v>26</v>
      </c>
      <c r="Q9" s="2">
        <v>0.56669999999999998</v>
      </c>
    </row>
    <row r="10" ht="15">
      <c r="D10" s="4" t="s">
        <v>27</v>
      </c>
      <c r="E10" s="1" t="s">
        <v>28</v>
      </c>
      <c r="F10" s="1">
        <v>18.805</v>
      </c>
      <c r="G10" s="1">
        <v>365.64999999999998</v>
      </c>
      <c r="H10" s="1">
        <v>122.41</v>
      </c>
      <c r="I10" s="1">
        <v>17.535</v>
      </c>
      <c r="J10" s="1"/>
      <c r="K10" s="1"/>
      <c r="L10" s="1"/>
      <c r="M10" s="1"/>
      <c r="N10" s="1"/>
      <c r="O10" s="1"/>
      <c r="P10" s="2" t="s">
        <v>29</v>
      </c>
      <c r="Q10" s="2">
        <v>0.84160000000000001</v>
      </c>
    </row>
    <row r="11" ht="15">
      <c r="D11" s="5" t="s">
        <v>30</v>
      </c>
      <c r="E11" s="1"/>
      <c r="F11" s="1"/>
      <c r="G11" s="1"/>
      <c r="I11" s="1"/>
      <c r="J11" s="6">
        <f>(H10-H12)/H10</f>
        <v>0.014998774609917479</v>
      </c>
      <c r="K11" s="1"/>
      <c r="L11" s="1"/>
      <c r="M11" s="1"/>
      <c r="N11" s="1"/>
      <c r="O11" s="1"/>
      <c r="P11" s="2" t="s">
        <v>31</v>
      </c>
      <c r="Q11" s="2">
        <v>15</v>
      </c>
    </row>
    <row r="12" ht="15">
      <c r="D12" s="4" t="s">
        <v>32</v>
      </c>
      <c r="E12" s="1" t="s">
        <v>33</v>
      </c>
      <c r="F12" s="1">
        <v>18.805</v>
      </c>
      <c r="G12" s="1">
        <v>365.64999999999998</v>
      </c>
      <c r="H12" s="1">
        <v>120.574</v>
      </c>
      <c r="I12" s="1">
        <v>17.802</v>
      </c>
      <c r="J12" s="1"/>
      <c r="K12" s="1"/>
      <c r="L12" s="7">
        <f>(F12-F15)/F12</f>
        <v>0.29199680935921296</v>
      </c>
      <c r="M12" s="1"/>
      <c r="N12" s="1"/>
      <c r="O12" s="1"/>
      <c r="P12" s="2" t="s">
        <v>34</v>
      </c>
      <c r="Q12" s="2">
        <v>0.995</v>
      </c>
    </row>
    <row r="13" s="8" customFormat="1" ht="15">
      <c r="D13" s="9"/>
      <c r="E13" s="7" t="s">
        <v>35</v>
      </c>
      <c r="F13" s="7">
        <v>18.053000000000001</v>
      </c>
      <c r="G13" s="7">
        <v>839.65999999999997</v>
      </c>
      <c r="H13" s="7">
        <v>1808.6130000000001</v>
      </c>
      <c r="I13" s="7">
        <v>1.726</v>
      </c>
      <c r="J13" s="7"/>
      <c r="K13" s="7" t="s">
        <v>36</v>
      </c>
      <c r="L13" s="7">
        <f>(F13-F15)/F13</f>
        <v>0.26250484683986042</v>
      </c>
      <c r="M13" s="7">
        <f>(Q37+Q36)*F12</f>
        <v>0.75219999999999998</v>
      </c>
      <c r="N13" s="8">
        <f>(500-H12)/(H13-H12)</f>
        <v>0.22477324279830027</v>
      </c>
      <c r="O13" s="10" t="s">
        <v>37</v>
      </c>
      <c r="P13" s="11" t="s">
        <v>38</v>
      </c>
      <c r="Q13" s="11">
        <v>50</v>
      </c>
    </row>
    <row r="14" ht="15">
      <c r="D14" s="4" t="s">
        <v>39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2"/>
      <c r="Q14" s="2"/>
    </row>
    <row r="15" s="8" customFormat="1" ht="15">
      <c r="A15" s="8">
        <f>F12-F15</f>
        <v>5.4909999999999997</v>
      </c>
      <c r="D15" s="9" t="s">
        <v>40</v>
      </c>
      <c r="E15" s="12">
        <v>31</v>
      </c>
      <c r="F15" s="7">
        <v>13.314</v>
      </c>
      <c r="G15" s="7">
        <v>839.65999999999997</v>
      </c>
      <c r="H15" s="7">
        <v>1808.6130000000001</v>
      </c>
      <c r="I15" s="7"/>
      <c r="J15" s="13">
        <f>(H15-H16)/H15</f>
        <v>0.040000265396743263</v>
      </c>
      <c r="K15" s="7" t="s">
        <v>41</v>
      </c>
      <c r="L15" s="7"/>
      <c r="M15" s="7">
        <f>(Q34+Q35)*F12</f>
        <v>4.7012499999999999</v>
      </c>
      <c r="N15" s="7">
        <v>1</v>
      </c>
      <c r="O15" s="7">
        <v>1</v>
      </c>
      <c r="P15" s="11"/>
      <c r="Q15" s="11"/>
    </row>
    <row r="16" ht="15">
      <c r="E16" s="1" t="s">
        <v>42</v>
      </c>
      <c r="F16" s="1">
        <v>13.717000000000001</v>
      </c>
      <c r="G16" s="1">
        <v>1816.8499999999999</v>
      </c>
      <c r="H16" s="1">
        <v>1736.268</v>
      </c>
      <c r="I16" s="1">
        <v>2.0099999999999998</v>
      </c>
      <c r="J16" s="1"/>
      <c r="K16" s="1"/>
      <c r="L16" s="1"/>
      <c r="M16" s="1"/>
      <c r="N16" s="1"/>
      <c r="O16" s="1"/>
      <c r="P16" s="2" t="s">
        <v>43</v>
      </c>
      <c r="Q16" s="2">
        <v>1.0250999999999999</v>
      </c>
    </row>
    <row r="17" ht="15">
      <c r="A17">
        <f>F12-F16</f>
        <v>5.0879999999999992</v>
      </c>
      <c r="E17" s="1" t="s">
        <v>44</v>
      </c>
      <c r="F17" s="1">
        <v>15.786</v>
      </c>
      <c r="G17" s="1">
        <v>1700</v>
      </c>
      <c r="H17" s="1">
        <v>1736.268</v>
      </c>
      <c r="I17" s="1">
        <v>2.238</v>
      </c>
      <c r="J17" s="1"/>
      <c r="K17" s="1"/>
      <c r="L17" s="1"/>
      <c r="M17" s="1"/>
      <c r="N17" s="1"/>
      <c r="O17" s="1"/>
      <c r="P17" s="2" t="s">
        <v>45</v>
      </c>
      <c r="Q17" s="2">
        <v>0.96999999999999997</v>
      </c>
    </row>
    <row r="18" ht="15">
      <c r="A18">
        <f>F23-F16</f>
        <v>5.4539999999999988</v>
      </c>
      <c r="D18" s="14" t="s">
        <v>46</v>
      </c>
      <c r="E18" s="1" t="s">
        <v>47</v>
      </c>
      <c r="F18" s="15">
        <v>16.725999999999999</v>
      </c>
      <c r="G18" s="1">
        <v>1655.01</v>
      </c>
      <c r="H18" s="1">
        <v>1736.268</v>
      </c>
      <c r="I18" s="1">
        <v>2.3399999999999999</v>
      </c>
      <c r="J18" s="1"/>
      <c r="K18" s="1"/>
      <c r="L18" s="1"/>
      <c r="M18" s="1"/>
      <c r="N18" s="1"/>
      <c r="O18" s="1"/>
      <c r="P18" s="2" t="s">
        <v>48</v>
      </c>
      <c r="Q18" s="2">
        <v>1.34863</v>
      </c>
    </row>
    <row r="19" ht="15">
      <c r="A19">
        <f>A18-A17</f>
        <v>0.36599999999999966</v>
      </c>
      <c r="D19" s="16"/>
      <c r="E19" s="1" t="s">
        <v>49</v>
      </c>
      <c r="F19" s="1">
        <v>16.725999999999999</v>
      </c>
      <c r="G19" s="1">
        <v>1211.54</v>
      </c>
      <c r="H19" s="1">
        <v>377.03199999999998</v>
      </c>
      <c r="I19" s="1"/>
      <c r="J19" s="1"/>
      <c r="K19" s="1"/>
      <c r="L19" s="1"/>
      <c r="M19" s="1"/>
      <c r="N19" s="1"/>
      <c r="O19" s="1"/>
      <c r="P19" s="2" t="s">
        <v>50</v>
      </c>
      <c r="Q19" s="2">
        <v>1.3686100000000001</v>
      </c>
    </row>
    <row r="20" ht="15">
      <c r="D20" s="16"/>
      <c r="E20" s="1" t="s">
        <v>51</v>
      </c>
      <c r="F20" s="17">
        <v>18.419</v>
      </c>
      <c r="G20" s="1">
        <v>1179.45</v>
      </c>
      <c r="H20" s="1">
        <v>377.03199999999998</v>
      </c>
      <c r="I20" s="1"/>
      <c r="J20" s="1"/>
      <c r="K20" s="1"/>
      <c r="L20" s="1"/>
      <c r="M20" s="1"/>
      <c r="N20" s="1"/>
      <c r="O20" s="1"/>
      <c r="P20" s="2" t="s">
        <v>52</v>
      </c>
      <c r="Q20" s="2">
        <v>0.98999999999999999</v>
      </c>
    </row>
    <row r="21" ht="15">
      <c r="D21" s="18"/>
      <c r="E21" s="1" t="s">
        <v>53</v>
      </c>
      <c r="F21" s="19">
        <v>19.045000000000002</v>
      </c>
      <c r="G21" s="1">
        <v>1163.47</v>
      </c>
      <c r="H21" s="1">
        <v>377.03199999999998</v>
      </c>
      <c r="I21" s="1">
        <v>10.285</v>
      </c>
      <c r="J21" s="1"/>
      <c r="K21" s="1"/>
      <c r="L21" s="1"/>
      <c r="M21" s="1"/>
      <c r="N21" s="1"/>
      <c r="O21" s="1"/>
      <c r="P21" s="2" t="s">
        <v>54</v>
      </c>
      <c r="Q21" s="2">
        <v>0.37808999999999998</v>
      </c>
    </row>
    <row r="22" ht="15">
      <c r="E22" s="1" t="s">
        <v>55</v>
      </c>
      <c r="F22" s="1">
        <v>19.045000000000002</v>
      </c>
      <c r="G22" s="1">
        <v>695.64999999999998</v>
      </c>
      <c r="H22" s="1">
        <v>37.079000000000001</v>
      </c>
      <c r="I22" s="1"/>
      <c r="J22" s="1"/>
      <c r="K22" s="1"/>
      <c r="L22" s="1"/>
      <c r="M22" s="1"/>
      <c r="N22" s="1"/>
      <c r="O22" s="1"/>
      <c r="P22" s="2" t="s">
        <v>56</v>
      </c>
      <c r="Q22" s="2">
        <v>2.4118599999999999</v>
      </c>
    </row>
    <row r="23" ht="15">
      <c r="A23" s="20">
        <f>18.805*0.16</f>
        <v>3.0087999999999999</v>
      </c>
      <c r="B23">
        <f>1-F18/F12</f>
        <v>0.11055570327040687</v>
      </c>
      <c r="C23" s="21"/>
      <c r="E23" s="1" t="s">
        <v>57</v>
      </c>
      <c r="F23" s="22">
        <v>19.170999999999999</v>
      </c>
      <c r="G23" s="1">
        <v>695.10000000000002</v>
      </c>
      <c r="H23" s="1">
        <v>37.079000000000001</v>
      </c>
      <c r="I23" s="1">
        <v>81.366</v>
      </c>
      <c r="J23" s="1"/>
      <c r="K23" s="1"/>
      <c r="L23" s="1"/>
      <c r="M23" s="1"/>
      <c r="N23" s="1"/>
      <c r="O23" s="1"/>
      <c r="P23" s="2" t="s">
        <v>58</v>
      </c>
      <c r="Q23" s="2">
        <v>0.81977</v>
      </c>
    </row>
    <row r="24" ht="15">
      <c r="A24" s="20"/>
      <c r="B24" s="21"/>
      <c r="C24" s="21"/>
      <c r="D24" t="s">
        <v>30</v>
      </c>
      <c r="E24" s="1"/>
      <c r="F24" s="22"/>
      <c r="G24" s="1"/>
      <c r="H24" s="1"/>
      <c r="I24" s="1"/>
      <c r="J24" s="23">
        <f>(H23-H25)/H23</f>
        <v>0.010005663583160339</v>
      </c>
      <c r="K24" s="1"/>
      <c r="L24" s="1"/>
      <c r="M24" s="1"/>
      <c r="N24" s="1"/>
      <c r="O24" s="1"/>
      <c r="P24" s="2"/>
      <c r="Q24" s="2"/>
    </row>
    <row r="25" ht="15">
      <c r="A25" s="24">
        <f>18.805*0.09</f>
        <v>1.69245</v>
      </c>
      <c r="E25" s="1" t="s">
        <v>59</v>
      </c>
      <c r="F25" s="1">
        <v>19.170999999999999</v>
      </c>
      <c r="G25" s="1">
        <v>695.10000000000002</v>
      </c>
      <c r="H25" s="1">
        <v>36.707999999999998</v>
      </c>
      <c r="I25" s="1">
        <v>82.188000000000002</v>
      </c>
      <c r="J25" s="1"/>
      <c r="K25" s="1"/>
      <c r="L25" s="1"/>
      <c r="M25" s="1"/>
      <c r="N25" s="1"/>
      <c r="O25" s="1"/>
      <c r="P25" s="2" t="s">
        <v>60</v>
      </c>
      <c r="Q25" s="2">
        <v>1</v>
      </c>
    </row>
    <row r="26" ht="15">
      <c r="A26" s="25">
        <f>18.805*0.03333</f>
        <v>0.62677064999999998</v>
      </c>
      <c r="E26" s="1" t="s">
        <v>61</v>
      </c>
      <c r="F26" s="1">
        <v>282.11500000000001</v>
      </c>
      <c r="G26" s="1">
        <v>275.38</v>
      </c>
      <c r="H26" s="1">
        <v>49.506</v>
      </c>
      <c r="I26" s="1">
        <v>564.47199999999998</v>
      </c>
      <c r="J26" s="23">
        <f>(H6-H26)/H6</f>
        <v>0.029997844700903244</v>
      </c>
      <c r="K26" s="1"/>
      <c r="L26" s="1"/>
      <c r="M26" s="1"/>
      <c r="N26" s="1"/>
      <c r="O26" s="1"/>
      <c r="P26" s="2" t="s">
        <v>62</v>
      </c>
      <c r="Q26" s="2">
        <v>0</v>
      </c>
    </row>
    <row r="27" ht="15">
      <c r="A27" s="26">
        <f>18.805*0.00667</f>
        <v>0.12542935</v>
      </c>
      <c r="E27" s="1"/>
      <c r="F27" s="1"/>
      <c r="G27" s="1"/>
      <c r="H27" s="1">
        <f>F12-F13</f>
        <v>0.75199999999999889</v>
      </c>
      <c r="I27" s="1"/>
      <c r="J27" s="1"/>
      <c r="K27" s="1"/>
      <c r="L27" s="1"/>
      <c r="M27" s="1"/>
      <c r="N27" s="1"/>
      <c r="O27" s="1"/>
      <c r="P27" s="2" t="s">
        <v>63</v>
      </c>
      <c r="Q27" s="2">
        <v>0.93881000000000003</v>
      </c>
    </row>
    <row r="28" ht="15">
      <c r="A28">
        <f>SUM(A23:A27)</f>
        <v>5.4534500000000001</v>
      </c>
      <c r="E28" s="1" t="s">
        <v>64</v>
      </c>
      <c r="F28" s="1"/>
      <c r="G28" s="1"/>
      <c r="H28" s="1">
        <f>F13-F16</f>
        <v>4.3360000000000003</v>
      </c>
      <c r="I28" s="1"/>
      <c r="J28" s="1"/>
      <c r="K28" s="1"/>
      <c r="L28" s="1"/>
      <c r="M28" s="1"/>
      <c r="N28" s="1"/>
      <c r="O28" s="1"/>
      <c r="P28" s="2" t="s">
        <v>65</v>
      </c>
      <c r="Q28" s="2">
        <v>0.96999999999999997</v>
      </c>
    </row>
    <row r="29" ht="15">
      <c r="G29" s="2"/>
      <c r="H29" s="2"/>
      <c r="I29" s="2"/>
      <c r="J29" s="1"/>
      <c r="K29" s="1"/>
      <c r="L29" s="1"/>
      <c r="M29" s="1"/>
      <c r="N29" s="1"/>
      <c r="O29" s="1"/>
      <c r="P29" s="2" t="s">
        <v>66</v>
      </c>
      <c r="Q29" s="2">
        <v>0.79998999999999998</v>
      </c>
    </row>
    <row r="30" ht="15">
      <c r="A30">
        <f>1-F13/F12</f>
        <v>0.039989364530709892</v>
      </c>
      <c r="E30" s="2" t="s">
        <v>67</v>
      </c>
      <c r="F30" s="2"/>
      <c r="G30" s="2"/>
      <c r="H30" s="2"/>
      <c r="I30" s="2"/>
      <c r="J30" s="1"/>
      <c r="K30" s="1"/>
      <c r="L30" s="1"/>
      <c r="M30" s="1"/>
      <c r="N30" s="1"/>
      <c r="O30" s="1"/>
      <c r="P30" s="2" t="s">
        <v>68</v>
      </c>
      <c r="Q30" s="2">
        <v>0</v>
      </c>
    </row>
    <row r="31" ht="15">
      <c r="E31" s="2" t="s">
        <v>69</v>
      </c>
      <c r="F31" s="2" t="s">
        <v>70</v>
      </c>
      <c r="G31" s="2" t="s">
        <v>71</v>
      </c>
      <c r="H31" s="2" t="s">
        <v>72</v>
      </c>
      <c r="I31" s="2" t="s">
        <v>73</v>
      </c>
      <c r="J31" s="1"/>
      <c r="K31" s="1"/>
      <c r="L31" s="1"/>
      <c r="M31" s="1"/>
      <c r="N31" s="1"/>
      <c r="O31" s="1"/>
      <c r="P31" s="2" t="s">
        <v>74</v>
      </c>
      <c r="Q31" s="2">
        <v>0</v>
      </c>
    </row>
    <row r="32" ht="15">
      <c r="E32" s="2" t="s">
        <v>75</v>
      </c>
      <c r="F32" s="2">
        <v>0.90000000000000002</v>
      </c>
      <c r="G32" s="2">
        <v>0.90480000000000005</v>
      </c>
      <c r="H32" s="2">
        <v>0.42799999999999999</v>
      </c>
      <c r="I32" s="2">
        <v>1.411</v>
      </c>
      <c r="J32" s="1"/>
      <c r="K32" s="1"/>
      <c r="L32" s="1"/>
      <c r="M32" s="1"/>
      <c r="N32" s="1"/>
      <c r="O32" s="1"/>
      <c r="P32" s="2" t="s">
        <v>76</v>
      </c>
      <c r="Q32" s="2">
        <v>0</v>
      </c>
    </row>
    <row r="33" ht="15">
      <c r="E33" s="2" t="s">
        <v>77</v>
      </c>
      <c r="F33" s="2">
        <v>0.90000000000000002</v>
      </c>
      <c r="G33" s="2">
        <v>0.90400000000000003</v>
      </c>
      <c r="H33" s="2">
        <v>0.42799999999999999</v>
      </c>
      <c r="I33" s="2">
        <v>1.329</v>
      </c>
      <c r="J33" s="1"/>
      <c r="K33" s="1"/>
      <c r="L33" s="1"/>
      <c r="M33" s="1"/>
      <c r="N33" s="1"/>
      <c r="O33" s="1"/>
      <c r="P33" s="2" t="s">
        <v>78</v>
      </c>
      <c r="Q33" s="2">
        <v>100</v>
      </c>
    </row>
    <row r="34" ht="15">
      <c r="B34">
        <f>F23-F20</f>
        <v>0.75199999999999889</v>
      </c>
      <c r="E34" s="2" t="s">
        <v>79</v>
      </c>
      <c r="F34" s="2">
        <v>0.88</v>
      </c>
      <c r="G34" s="2">
        <v>0.89480000000000004</v>
      </c>
      <c r="H34" s="2">
        <v>0.504</v>
      </c>
      <c r="I34" s="2">
        <v>2.5859999999999999</v>
      </c>
      <c r="J34" s="1"/>
      <c r="K34" s="1"/>
      <c r="L34" s="1"/>
      <c r="M34" s="1"/>
      <c r="N34" s="1"/>
      <c r="O34" s="1"/>
      <c r="P34" s="2" t="s">
        <v>80</v>
      </c>
      <c r="Q34" s="20">
        <v>0.16</v>
      </c>
    </row>
    <row r="35" ht="15">
      <c r="B35">
        <f>F12-F13</f>
        <v>0.75199999999999889</v>
      </c>
      <c r="E35" s="2" t="s">
        <v>81</v>
      </c>
      <c r="F35" s="2">
        <v>0.84999999999999998</v>
      </c>
      <c r="G35" s="2">
        <v>0.89300000000000002</v>
      </c>
      <c r="H35" s="2">
        <v>0.89600000000000002</v>
      </c>
      <c r="I35" s="2">
        <v>15</v>
      </c>
      <c r="J35" s="1"/>
      <c r="K35" s="1"/>
      <c r="L35" s="1"/>
      <c r="M35" s="1"/>
      <c r="N35" s="1"/>
      <c r="O35" s="1"/>
      <c r="P35" s="2" t="s">
        <v>82</v>
      </c>
      <c r="Q35" s="24">
        <v>0.089999999999999997</v>
      </c>
    </row>
    <row r="36" ht="15">
      <c r="E36" s="2" t="s">
        <v>83</v>
      </c>
      <c r="F36" s="2">
        <v>0.99950000000000006</v>
      </c>
      <c r="G36" s="2"/>
      <c r="H36" s="2"/>
      <c r="I36" s="2">
        <v>0.95999999999999996</v>
      </c>
      <c r="J36" s="1"/>
      <c r="K36" s="1"/>
      <c r="L36" s="1"/>
      <c r="M36" s="1"/>
      <c r="N36" s="1"/>
      <c r="O36" s="1"/>
      <c r="P36" s="2" t="s">
        <v>84</v>
      </c>
      <c r="Q36" s="25">
        <v>0.033329999999999999</v>
      </c>
    </row>
    <row r="37" ht="15">
      <c r="E37" s="2" t="s">
        <v>46</v>
      </c>
      <c r="F37" s="2">
        <v>0.91000000000000003</v>
      </c>
      <c r="G37" s="2">
        <v>0.89410000000000001</v>
      </c>
      <c r="H37" s="2">
        <v>2.2240000000000002</v>
      </c>
      <c r="I37" s="2">
        <v>4.6050000000000004</v>
      </c>
      <c r="J37" s="1"/>
      <c r="K37" s="1"/>
      <c r="L37" s="1"/>
      <c r="M37" s="1"/>
      <c r="N37" s="1"/>
      <c r="O37" s="1"/>
      <c r="P37" s="2" t="s">
        <v>85</v>
      </c>
      <c r="Q37" s="26">
        <v>0.0066699999999999997</v>
      </c>
    </row>
    <row r="38" ht="15">
      <c r="E38" s="2" t="s">
        <v>86</v>
      </c>
      <c r="F38" s="2">
        <v>0.92000000000000004</v>
      </c>
      <c r="G38" s="2">
        <v>0.89459999999999995</v>
      </c>
      <c r="H38" s="2">
        <v>0.72399999999999998</v>
      </c>
      <c r="I38" s="2">
        <v>10.167999999999999</v>
      </c>
      <c r="J38" s="1"/>
      <c r="K38" s="1"/>
      <c r="L38" s="1"/>
      <c r="M38" s="1"/>
      <c r="N38" s="1"/>
      <c r="O38" s="1"/>
      <c r="P38" s="2" t="s">
        <v>87</v>
      </c>
      <c r="Q38" s="2">
        <v>3.1833399999999998</v>
      </c>
    </row>
    <row r="39" ht="15">
      <c r="E39" s="2"/>
      <c r="F39" s="2"/>
      <c r="G39" s="2"/>
      <c r="H39" s="2"/>
      <c r="I39" s="2"/>
      <c r="J39" s="1"/>
      <c r="K39" s="1"/>
      <c r="L39" s="1"/>
      <c r="M39" s="1"/>
      <c r="N39" s="1"/>
      <c r="O39" s="1"/>
      <c r="P39" s="2" t="s">
        <v>88</v>
      </c>
      <c r="Q39" s="2">
        <v>0</v>
      </c>
    </row>
    <row r="40" ht="15">
      <c r="E40" s="2" t="s">
        <v>89</v>
      </c>
      <c r="F40" s="2"/>
      <c r="G40" s="2"/>
      <c r="H40" s="2"/>
      <c r="I40" s="2"/>
      <c r="J40" s="1"/>
      <c r="K40" s="1"/>
      <c r="L40" s="1"/>
      <c r="M40" s="1"/>
      <c r="N40" s="1"/>
      <c r="O40" s="1"/>
      <c r="P40" s="2" t="s">
        <v>90</v>
      </c>
      <c r="Q40" s="2">
        <v>0</v>
      </c>
    </row>
    <row r="41" ht="14.25">
      <c r="E41" s="2" t="s">
        <v>91</v>
      </c>
      <c r="F41" s="2">
        <v>0.98999999999999999</v>
      </c>
      <c r="G41" s="2"/>
      <c r="H41" s="2"/>
      <c r="I41" s="2"/>
      <c r="P41" s="2" t="s">
        <v>92</v>
      </c>
      <c r="Q41" s="2">
        <v>0</v>
      </c>
    </row>
    <row r="42" ht="14.25">
      <c r="E42" s="2" t="s">
        <v>93</v>
      </c>
      <c r="F42" s="2">
        <v>0.99199999999999999</v>
      </c>
      <c r="G42" s="2"/>
      <c r="H42" s="2"/>
      <c r="I42" s="2"/>
    </row>
    <row r="43" ht="14.25">
      <c r="E43" s="2" t="s">
        <v>94</v>
      </c>
      <c r="F43" s="2">
        <v>8363</v>
      </c>
      <c r="G43" s="2"/>
      <c r="H43" s="2"/>
      <c r="I43" s="2"/>
    </row>
    <row r="44" ht="14.25">
      <c r="E44" s="2" t="s">
        <v>95</v>
      </c>
      <c r="F44" s="2">
        <v>20333</v>
      </c>
      <c r="G44" s="2"/>
      <c r="H44" s="2"/>
      <c r="I44" s="2"/>
    </row>
    <row r="45" ht="14.25">
      <c r="E45" s="2" t="s">
        <v>96</v>
      </c>
      <c r="F45" s="2">
        <v>2627</v>
      </c>
      <c r="G45" s="2"/>
      <c r="H45" s="2"/>
      <c r="I45" s="2"/>
    </row>
    <row r="46" ht="14.25">
      <c r="E46" s="2" t="s">
        <v>97</v>
      </c>
      <c r="F46" s="27">
        <v>0.97999999999999998</v>
      </c>
      <c r="G46" s="2"/>
      <c r="H46" s="2"/>
      <c r="I46" s="2"/>
    </row>
    <row r="47" ht="14.25">
      <c r="E47" s="2" t="s">
        <v>98</v>
      </c>
      <c r="F47" s="28">
        <v>0.98499999999999999</v>
      </c>
      <c r="G47" s="2"/>
      <c r="H47" s="2"/>
      <c r="I47" s="2"/>
    </row>
    <row r="48" ht="14.25">
      <c r="E48" s="2" t="s">
        <v>99</v>
      </c>
      <c r="F48" s="2">
        <v>1</v>
      </c>
      <c r="G48" s="2"/>
      <c r="H48" s="2"/>
      <c r="I48" s="2"/>
    </row>
    <row r="49" ht="14.25">
      <c r="G49" s="2"/>
      <c r="H49" s="2"/>
      <c r="I49" s="2"/>
    </row>
    <row r="50" ht="15">
      <c r="E50" s="1">
        <v>13.314</v>
      </c>
      <c r="F50" s="29">
        <f t="shared" ref="F50:F59" si="0">E50+3.0088</f>
        <v>16.322800000000001</v>
      </c>
      <c r="G50" s="2"/>
      <c r="H50" s="30">
        <f t="shared" ref="H50:H59" si="1">E50+1.69245</f>
        <v>15.006450000000001</v>
      </c>
      <c r="I50" s="2"/>
      <c r="J50" s="29">
        <f t="shared" ref="J50:J59" si="2">E50+0.626771</f>
        <v>13.940771</v>
      </c>
      <c r="K50" s="29"/>
      <c r="L50" s="29"/>
      <c r="M50" s="29"/>
      <c r="P50">
        <f t="shared" ref="P50:P59" si="3">E50+0.125429</f>
        <v>13.439429000000001</v>
      </c>
    </row>
    <row r="51" ht="15">
      <c r="E51" s="1">
        <v>13.717000000000001</v>
      </c>
      <c r="F51" s="31">
        <f t="shared" si="0"/>
        <v>16.7258</v>
      </c>
      <c r="G51" s="2"/>
      <c r="H51" s="30">
        <f t="shared" si="1"/>
        <v>15.40945</v>
      </c>
      <c r="I51" s="2"/>
      <c r="J51" s="29">
        <f t="shared" si="2"/>
        <v>14.343771</v>
      </c>
      <c r="K51" s="29"/>
      <c r="L51" s="29"/>
      <c r="M51" s="29"/>
      <c r="P51">
        <f t="shared" si="3"/>
        <v>13.842429000000001</v>
      </c>
    </row>
    <row r="52" ht="15">
      <c r="E52" s="1">
        <v>15.786</v>
      </c>
      <c r="F52" s="29">
        <f t="shared" si="0"/>
        <v>18.794799999999999</v>
      </c>
      <c r="G52" s="2"/>
      <c r="H52" s="30">
        <f t="shared" si="1"/>
        <v>17.478449999999999</v>
      </c>
      <c r="I52" s="2"/>
      <c r="J52" s="29">
        <f t="shared" si="2"/>
        <v>16.412770999999999</v>
      </c>
      <c r="K52" s="29"/>
      <c r="L52" s="29"/>
      <c r="M52" s="29"/>
      <c r="P52">
        <f t="shared" si="3"/>
        <v>15.911429</v>
      </c>
    </row>
    <row r="53" ht="15">
      <c r="E53" s="1">
        <v>16.725999999999999</v>
      </c>
      <c r="F53" s="29">
        <f t="shared" si="0"/>
        <v>19.7348</v>
      </c>
      <c r="G53" s="2"/>
      <c r="H53" s="32">
        <f>E53+1.69245</f>
        <v>18.41845</v>
      </c>
      <c r="I53" s="2"/>
      <c r="J53" s="29">
        <f t="shared" si="2"/>
        <v>17.352771000000001</v>
      </c>
      <c r="K53" s="29"/>
      <c r="L53" s="29"/>
      <c r="M53" s="29"/>
      <c r="P53">
        <f t="shared" si="3"/>
        <v>16.851429</v>
      </c>
    </row>
    <row r="54" ht="15">
      <c r="E54" s="1">
        <v>16.725999999999999</v>
      </c>
      <c r="F54" s="29">
        <f t="shared" si="0"/>
        <v>19.7348</v>
      </c>
      <c r="G54" s="2"/>
      <c r="H54" s="30">
        <f t="shared" si="1"/>
        <v>18.41845</v>
      </c>
      <c r="I54" s="2"/>
      <c r="J54" s="29">
        <f t="shared" si="2"/>
        <v>17.352771000000001</v>
      </c>
      <c r="K54" s="29"/>
      <c r="L54" s="29"/>
      <c r="M54" s="29"/>
      <c r="P54">
        <f t="shared" si="3"/>
        <v>16.851429</v>
      </c>
    </row>
    <row r="55" ht="15">
      <c r="E55" s="1">
        <v>18.419</v>
      </c>
      <c r="F55" s="29">
        <f t="shared" si="0"/>
        <v>21.427800000000001</v>
      </c>
      <c r="G55" s="2"/>
      <c r="H55" s="30">
        <f t="shared" si="1"/>
        <v>20.111450000000001</v>
      </c>
      <c r="I55" s="2"/>
      <c r="J55" s="31">
        <f t="shared" si="2"/>
        <v>19.045771000000002</v>
      </c>
      <c r="K55" s="29"/>
      <c r="L55" s="29"/>
      <c r="M55" s="29"/>
      <c r="P55">
        <f t="shared" si="3"/>
        <v>18.544429000000001</v>
      </c>
    </row>
    <row r="56" ht="15">
      <c r="E56" s="1">
        <v>19.045000000000002</v>
      </c>
      <c r="F56" s="29">
        <f t="shared" si="0"/>
        <v>22.053800000000003</v>
      </c>
      <c r="G56" s="2"/>
      <c r="H56" s="30">
        <f t="shared" si="1"/>
        <v>20.737450000000003</v>
      </c>
      <c r="I56" s="2"/>
      <c r="J56" s="29">
        <f t="shared" si="2"/>
        <v>19.671771000000003</v>
      </c>
      <c r="K56" s="29"/>
      <c r="L56" s="29"/>
      <c r="M56" s="29"/>
      <c r="P56" s="33">
        <f t="shared" si="3"/>
        <v>19.170429000000002</v>
      </c>
    </row>
    <row r="57" ht="15">
      <c r="E57" s="1">
        <v>19.045000000000002</v>
      </c>
      <c r="F57" s="29">
        <f t="shared" si="0"/>
        <v>22.053800000000003</v>
      </c>
      <c r="G57" s="2"/>
      <c r="H57" s="30">
        <f t="shared" si="1"/>
        <v>20.737450000000003</v>
      </c>
      <c r="I57" s="2"/>
      <c r="J57" s="29">
        <f t="shared" si="2"/>
        <v>19.671771000000003</v>
      </c>
      <c r="K57" s="29"/>
      <c r="L57" s="29"/>
      <c r="M57" s="29"/>
      <c r="P57">
        <f t="shared" si="3"/>
        <v>19.170429000000002</v>
      </c>
    </row>
    <row r="58" ht="15">
      <c r="E58" s="1">
        <v>19.170999999999999</v>
      </c>
      <c r="F58" s="29">
        <f t="shared" si="0"/>
        <v>22.1798</v>
      </c>
      <c r="G58" s="2"/>
      <c r="H58" s="30">
        <f t="shared" si="1"/>
        <v>20.86345</v>
      </c>
      <c r="I58" s="2"/>
      <c r="J58" s="29">
        <f t="shared" si="2"/>
        <v>19.797771000000001</v>
      </c>
      <c r="K58" s="29"/>
      <c r="L58" s="29"/>
      <c r="M58" s="29"/>
      <c r="P58">
        <f t="shared" si="3"/>
        <v>19.296429</v>
      </c>
    </row>
    <row r="59" ht="15">
      <c r="E59" s="1">
        <v>19.170999999999999</v>
      </c>
      <c r="F59" s="29">
        <f t="shared" si="0"/>
        <v>22.1798</v>
      </c>
      <c r="G59" s="2"/>
      <c r="H59" s="30">
        <f t="shared" si="1"/>
        <v>20.86345</v>
      </c>
      <c r="I59" s="2"/>
      <c r="J59" s="29">
        <f t="shared" si="2"/>
        <v>19.797771000000001</v>
      </c>
      <c r="K59" s="29"/>
      <c r="L59" s="29"/>
      <c r="M59" s="29"/>
      <c r="P59">
        <f t="shared" si="3"/>
        <v>19.296429</v>
      </c>
    </row>
    <row r="60" ht="14.25">
      <c r="G60" s="2"/>
      <c r="H60" s="2"/>
      <c r="I60" s="2"/>
    </row>
    <row r="61" ht="14.25">
      <c r="G61" s="2"/>
      <c r="H61" s="2"/>
      <c r="I61" s="2"/>
    </row>
    <row r="62" ht="14.25">
      <c r="G62" s="2"/>
      <c r="H62" s="2"/>
      <c r="I62" s="2"/>
    </row>
    <row r="63" ht="14.25">
      <c r="G63" s="2"/>
      <c r="H63" s="2"/>
      <c r="I63" s="2"/>
    </row>
    <row r="64" ht="14.25">
      <c r="G64" s="2"/>
      <c r="H64" s="2"/>
      <c r="I64" s="2"/>
    </row>
    <row r="65" ht="14.25">
      <c r="G65" s="2"/>
      <c r="H65" s="2"/>
      <c r="I65" s="2"/>
    </row>
    <row r="66" ht="14.25">
      <c r="E66" s="2"/>
      <c r="F66" s="2"/>
      <c r="G66" s="2"/>
      <c r="H66" s="2"/>
      <c r="I66" s="2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3</cp:revision>
  <dcterms:created xsi:type="dcterms:W3CDTF">2026-02-12T16:48:10Z</dcterms:created>
  <dcterms:modified xsi:type="dcterms:W3CDTF">2026-02-21T15:43:27Z</dcterms:modified>
</cp:coreProperties>
</file>